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de Simulación" sheetId="1" state="visible" r:id="rId1"/>
    <sheet xmlns:r="http://schemas.openxmlformats.org/officeDocument/2006/relationships" name="Análisis Estadístico" sheetId="2" state="visible" r:id="rId2"/>
    <sheet xmlns:r="http://schemas.openxmlformats.org/officeDocument/2006/relationships" name="Gráficos" sheetId="3" state="visible" r:id="rId3"/>
    <sheet xmlns:r="http://schemas.openxmlformats.org/officeDocument/2006/relationships" name="Modelo FlexSim" sheetId="4" state="visible" r:id="rId4"/>
  </sheets>
  <definedNames>
    <definedName name="_xlnm.Print_Titles" localSheetId="0">'Datos de Simulación'!$1:$1</definedName>
    <definedName name="_xlnm.Print_Titles" localSheetId="1">'Análisis Estadístico'!$1:$1</definedName>
    <definedName name="_xlnm.Print_Titles" localSheetId="2">'Gráficos'!$1:$1</definedName>
    <definedName name="_xlnm.Print_Titles" localSheetId="3">'Modelo FlexSim'!$1:$1</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14">
    <font>
      <name val="Calibri"/>
      <family val="2"/>
      <color theme="1"/>
      <sz val="11"/>
      <scheme val="minor"/>
    </font>
    <font>
      <name val="Calibri"/>
      <b val="1"/>
      <color rgb="001F4E79"/>
      <sz val="14"/>
    </font>
    <font>
      <name val="Calibri"/>
      <i val="1"/>
      <color rgb="00595959"/>
      <sz val="10"/>
    </font>
    <font>
      <name val="Calibri"/>
      <b val="1"/>
      <color rgb="001F4E79"/>
      <sz val="11"/>
    </font>
    <font>
      <name val="Calibri"/>
      <sz val="10"/>
    </font>
    <font>
      <name val="Calibri"/>
      <b val="1"/>
      <sz val="10"/>
    </font>
    <font>
      <name val="Calibri"/>
      <b val="1"/>
      <color rgb="00FFFFFF"/>
      <sz val="11"/>
    </font>
    <font>
      <name val="Calibri"/>
      <i val="1"/>
      <color rgb="00595959"/>
      <sz val="9"/>
    </font>
    <font>
      <name val="Calibri"/>
      <i val="1"/>
      <sz val="10"/>
    </font>
    <font>
      <name val="Calibri"/>
      <b val="1"/>
      <color rgb="001F4E79"/>
      <sz val="12"/>
    </font>
    <font>
      <name val="Calibri"/>
      <b val="1"/>
    </font>
    <font>
      <name val="Calibri"/>
      <b val="1"/>
      <color rgb="00FFFFFF"/>
    </font>
    <font>
      <name val="Calibri"/>
      <sz val="9"/>
    </font>
    <font>
      <name val="Courier New"/>
      <b val="1"/>
      <color rgb="00C00000"/>
      <sz val="10"/>
    </font>
  </fonts>
  <fills count="8">
    <fill>
      <patternFill/>
    </fill>
    <fill>
      <patternFill patternType="gray125"/>
    </fill>
    <fill>
      <patternFill patternType="solid">
        <fgColor rgb="00DEEAF1"/>
      </patternFill>
    </fill>
    <fill>
      <patternFill patternType="solid">
        <fgColor rgb="00FFF2CC"/>
      </patternFill>
    </fill>
    <fill>
      <patternFill patternType="solid">
        <fgColor rgb="001F4E79"/>
      </patternFill>
    </fill>
    <fill>
      <patternFill patternType="solid">
        <fgColor rgb="00FFFFFF"/>
      </patternFill>
    </fill>
    <fill>
      <patternFill patternType="solid">
        <fgColor rgb="00BDD7EE"/>
      </patternFill>
    </fill>
    <fill>
      <patternFill patternType="solid">
        <fgColor rgb="00E2EFDA"/>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FFFFFF"/>
      </left>
      <right style="thin">
        <color rgb="00FFFFFF"/>
      </right>
      <top style="thin">
        <color rgb="00FFFFFF"/>
      </top>
      <bottom style="thin">
        <color rgb="00FFFFFF"/>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0" pivotButton="0" quotePrefix="0" xfId="0"/>
    <xf numFmtId="0" fontId="4" fillId="3" borderId="1" pivotButton="0" quotePrefix="0" xfId="0"/>
    <xf numFmtId="0" fontId="5" fillId="0" borderId="1" applyAlignment="1" pivotButton="0" quotePrefix="0" xfId="0">
      <alignment horizontal="center"/>
    </xf>
    <xf numFmtId="0" fontId="3" fillId="2" borderId="0" applyAlignment="1" pivotButton="0" quotePrefix="0" xfId="0">
      <alignment horizontal="center"/>
    </xf>
    <xf numFmtId="0" fontId="6" fillId="4" borderId="2" applyAlignment="1" pivotButton="0" quotePrefix="0" xfId="0">
      <alignment horizontal="center" vertical="center" wrapText="1"/>
    </xf>
    <xf numFmtId="0" fontId="4" fillId="5" borderId="1" applyAlignment="1" pivotButton="0" quotePrefix="0" xfId="0">
      <alignment horizontal="center"/>
    </xf>
    <xf numFmtId="3" fontId="4" fillId="5" borderId="1" applyAlignment="1" pivotButton="0" quotePrefix="0" xfId="0">
      <alignment horizontal="center"/>
    </xf>
    <xf numFmtId="10" fontId="4" fillId="5" borderId="1" applyAlignment="1" pivotButton="0" quotePrefix="0" xfId="0">
      <alignment horizontal="center"/>
    </xf>
    <xf numFmtId="0" fontId="4" fillId="2" borderId="1" applyAlignment="1" pivotButton="0" quotePrefix="0" xfId="0">
      <alignment horizontal="center"/>
    </xf>
    <xf numFmtId="3" fontId="4" fillId="2" borderId="1" applyAlignment="1" pivotButton="0" quotePrefix="0" xfId="0">
      <alignment horizontal="center"/>
    </xf>
    <xf numFmtId="10" fontId="4" fillId="2" borderId="1" applyAlignment="1" pivotButton="0" quotePrefix="0" xfId="0">
      <alignment horizontal="center"/>
    </xf>
    <xf numFmtId="0" fontId="5" fillId="6" borderId="1" applyAlignment="1" pivotButton="0" quotePrefix="0" xfId="0">
      <alignment horizontal="center"/>
    </xf>
    <xf numFmtId="3" fontId="5" fillId="6" borderId="1" applyAlignment="1" pivotButton="0" quotePrefix="0" xfId="0">
      <alignment horizontal="center"/>
    </xf>
    <xf numFmtId="10" fontId="5" fillId="6" borderId="1" applyAlignment="1" pivotButton="0" quotePrefix="0" xfId="0">
      <alignment horizontal="center"/>
    </xf>
    <xf numFmtId="0" fontId="7" fillId="0" borderId="0" applyAlignment="1" pivotButton="0" quotePrefix="0" xfId="0">
      <alignment vertical="top" wrapText="1"/>
    </xf>
    <xf numFmtId="0" fontId="4" fillId="5" borderId="1" pivotButton="0" quotePrefix="0" xfId="0"/>
    <xf numFmtId="0" fontId="4" fillId="2" borderId="1" pivotButton="0" quotePrefix="0" xfId="0"/>
    <xf numFmtId="164" fontId="5" fillId="7" borderId="1" applyAlignment="1" pivotButton="0" quotePrefix="0" xfId="0">
      <alignment horizontal="center"/>
    </xf>
    <xf numFmtId="164" fontId="4" fillId="2" borderId="1" applyAlignment="1" pivotButton="0" quotePrefix="0" xfId="0">
      <alignment horizontal="center"/>
    </xf>
    <xf numFmtId="165" fontId="4" fillId="2" borderId="1" applyAlignment="1" pivotButton="0" quotePrefix="0" xfId="0">
      <alignment horizontal="center"/>
    </xf>
    <xf numFmtId="0" fontId="8" fillId="2" borderId="0" applyAlignment="1" pivotButton="0" quotePrefix="0" xfId="0">
      <alignment horizontal="center"/>
    </xf>
    <xf numFmtId="2" fontId="4" fillId="5" borderId="1" applyAlignment="1" pivotButton="0" quotePrefix="0" xfId="0">
      <alignment horizontal="center"/>
    </xf>
    <xf numFmtId="0" fontId="8" fillId="5" borderId="0" applyAlignment="1" pivotButton="0" quotePrefix="0" xfId="0">
      <alignment horizontal="center"/>
    </xf>
    <xf numFmtId="0" fontId="9" fillId="6" borderId="0" applyAlignment="1" pivotButton="0" quotePrefix="0" xfId="0">
      <alignment horizontal="center"/>
    </xf>
    <xf numFmtId="0" fontId="5" fillId="5" borderId="1" pivotButton="0" quotePrefix="0" xfId="0"/>
    <xf numFmtId="0" fontId="5" fillId="2" borderId="1" pivotButton="0" quotePrefix="0" xfId="0"/>
    <xf numFmtId="2" fontId="5" fillId="7" borderId="1" applyAlignment="1" pivotButton="0" quotePrefix="0" xfId="0">
      <alignment horizontal="center"/>
    </xf>
    <xf numFmtId="2" fontId="4" fillId="2" borderId="1" applyAlignment="1" pivotButton="0" quotePrefix="0" xfId="0">
      <alignment horizontal="center"/>
    </xf>
    <xf numFmtId="0" fontId="8" fillId="0" borderId="0" applyAlignment="1" pivotButton="0" quotePrefix="0" xfId="0">
      <alignment vertical="top" wrapText="1"/>
    </xf>
    <xf numFmtId="0" fontId="11" fillId="4" borderId="0" applyAlignment="1" pivotButton="0" quotePrefix="0" xfId="0">
      <alignment horizontal="center"/>
    </xf>
    <xf numFmtId="0" fontId="0" fillId="0" borderId="0" applyAlignment="1" pivotButton="0" quotePrefix="0" xfId="0">
      <alignment horizontal="center"/>
    </xf>
    <xf numFmtId="0" fontId="5" fillId="5" borderId="1" applyAlignment="1" pivotButton="0" quotePrefix="0" xfId="0">
      <alignment horizontal="center"/>
    </xf>
    <xf numFmtId="0" fontId="12" fillId="5" borderId="1" applyAlignment="1" pivotButton="0" quotePrefix="0" xfId="0">
      <alignment wrapText="1"/>
    </xf>
    <xf numFmtId="0" fontId="5" fillId="2" borderId="1" applyAlignment="1" pivotButton="0" quotePrefix="0" xfId="0">
      <alignment horizontal="center"/>
    </xf>
    <xf numFmtId="0" fontId="12" fillId="2" borderId="1" applyAlignment="1" pivotButton="0" quotePrefix="0" xfId="0">
      <alignment wrapText="1"/>
    </xf>
    <xf numFmtId="0" fontId="1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Resultados por Réplica</a:t>
            </a:r>
          </a:p>
        </rich>
      </tx>
    </title>
    <plotArea>
      <barChart>
        <barDir val="col"/>
        <grouping val="clustered"/>
        <ser>
          <idx val="0"/>
          <order val="0"/>
          <tx>
            <strRef>
              <f>'Gráficos'!B3</f>
            </strRef>
          </tx>
          <spPr>
            <a:solidFill xmlns:a="http://schemas.openxmlformats.org/drawingml/2006/main">
              <a:srgbClr val="1F77B4"/>
            </a:solidFill>
            <a:ln xmlns:a="http://schemas.openxmlformats.org/drawingml/2006/main">
              <a:prstDash val="solid"/>
            </a:ln>
          </spPr>
          <cat>
            <numRef>
              <f>'Gráficos'!$A$4:$A$6</f>
            </numRef>
          </cat>
          <val>
            <numRef>
              <f>'Gráficos'!$B$4:$B$6</f>
            </numRef>
          </val>
        </ser>
        <ser>
          <idx val="1"/>
          <order val="1"/>
          <tx>
            <strRef>
              <f>'Gráficos'!C3</f>
            </strRef>
          </tx>
          <spPr>
            <a:solidFill xmlns:a="http://schemas.openxmlformats.org/drawingml/2006/main">
              <a:srgbClr val="FF7F0E"/>
            </a:solidFill>
            <a:ln xmlns:a="http://schemas.openxmlformats.org/drawingml/2006/main">
              <a:prstDash val="solid"/>
            </a:ln>
          </spPr>
          <cat>
            <numRef>
              <f>'Gráficos'!$A$4:$A$6</f>
            </numRef>
          </cat>
          <val>
            <numRef>
              <f>'Gráficos'!$C$4:$C$6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Réplica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Número de Ratones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Distribución Promedio de Resultados</a:t>
            </a:r>
          </a:p>
        </rich>
      </tx>
    </title>
    <plotArea>
      <pieChart>
        <varyColors val="1"/>
        <ser>
          <idx val="0"/>
          <order val="0"/>
          <tx>
            <strRef>
              <f>'Gráficos'!B11</f>
            </strRef>
          </tx>
          <spPr>
            <a:ln xmlns:a="http://schemas.openxmlformats.org/drawingml/2006/main">
              <a:prstDash val="solid"/>
            </a:ln>
          </spPr>
          <val>
            <numRef>
              <f>'Gráficos'!$B$12:$B$13</f>
            </numRef>
          </val>
        </ser>
        <dLbls>
          <showVal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21</row>
      <rowOff>0</rowOff>
    </from>
    <ext cx="50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9"/>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0" customWidth="1" min="6" max="6"/>
  </cols>
  <sheetData>
    <row r="1" ht="30" customHeight="1">
      <c r="A1" s="1" t="inlineStr">
        <is>
          <t>Simulación de Ratones en Laberinto — FlexSim 2024</t>
        </is>
      </c>
    </row>
    <row r="2" ht="18" customHeight="1">
      <c r="A2" s="2" t="inlineStr">
        <is>
          <t>Grupo E — Universidad / Ingeniería Industrial — Plantabal</t>
        </is>
      </c>
    </row>
    <row r="3" ht="8" customHeight="1"/>
    <row r="4">
      <c r="A4" s="3" t="inlineStr">
        <is>
          <t>Parámetros del Modelo</t>
        </is>
      </c>
    </row>
    <row r="5">
      <c r="A5" s="4" t="inlineStr">
        <is>
          <t>Total de ratones</t>
        </is>
      </c>
      <c r="C5" s="5" t="n">
        <v>100</v>
      </c>
    </row>
    <row r="6">
      <c r="A6" s="4" t="inlineStr">
        <is>
          <t>Tiempo de supervivencia</t>
        </is>
      </c>
      <c r="C6" s="5" t="inlineStr">
        <is>
          <t>Normal(600, 120) s</t>
        </is>
      </c>
    </row>
    <row r="7">
      <c r="A7" s="4" t="inlineStr">
        <is>
          <t>Probabilidad de escape por intento</t>
        </is>
      </c>
      <c r="C7" s="5" t="inlineStr">
        <is>
          <t>30 %</t>
        </is>
      </c>
    </row>
    <row r="8">
      <c r="A8" s="4" t="inlineStr">
        <is>
          <t>Tiempo en intento de escape</t>
        </is>
      </c>
      <c r="C8" s="5" t="inlineStr">
        <is>
          <t>Uniforme(60, 180) s</t>
        </is>
      </c>
    </row>
    <row r="9">
      <c r="A9" s="4" t="inlineStr">
        <is>
          <t>Tiempo vagando sin rumbo</t>
        </is>
      </c>
      <c r="C9" s="5" t="inlineStr">
        <is>
          <t>Uniforme(120, 180) s</t>
        </is>
      </c>
    </row>
    <row r="10">
      <c r="A10" s="4" t="inlineStr">
        <is>
          <t>Duración de la simulación</t>
        </is>
      </c>
      <c r="C10" s="5" t="inlineStr">
        <is>
          <t>~964 s</t>
        </is>
      </c>
    </row>
    <row r="11" ht="12" customHeight="1"/>
    <row r="12" ht="20" customHeight="1">
      <c r="A12" s="6" t="inlineStr">
        <is>
          <t>Resultados por Réplica de Simulación</t>
        </is>
      </c>
    </row>
    <row r="13" ht="22" customHeight="1">
      <c r="A13" s="7" t="inlineStr">
        <is>
          <t>Réplica</t>
        </is>
      </c>
      <c r="B13" s="7" t="inlineStr">
        <is>
          <t>N Ratones</t>
        </is>
      </c>
      <c r="C13" s="7" t="inlineStr">
        <is>
          <t>Escaparon</t>
        </is>
      </c>
      <c r="D13" s="7" t="inlineStr">
        <is>
          <t>Murieron</t>
        </is>
      </c>
      <c r="E13" s="7" t="inlineStr">
        <is>
          <t>% Escape</t>
        </is>
      </c>
      <c r="F13" s="7" t="inlineStr">
        <is>
          <t>% Muerte</t>
        </is>
      </c>
    </row>
    <row r="14">
      <c r="A14" s="8" t="inlineStr">
        <is>
          <t>Réplica 1</t>
        </is>
      </c>
      <c r="B14" s="9" t="n">
        <v>100</v>
      </c>
      <c r="C14" s="9" t="n">
        <v>54</v>
      </c>
      <c r="D14" s="9" t="n">
        <v>46</v>
      </c>
      <c r="E14" s="10">
        <f>C14/B14</f>
        <v/>
      </c>
      <c r="F14" s="10">
        <f>D14/B14</f>
        <v/>
      </c>
    </row>
    <row r="15">
      <c r="A15" s="11" t="inlineStr">
        <is>
          <t>Réplica 2</t>
        </is>
      </c>
      <c r="B15" s="12" t="n">
        <v>100</v>
      </c>
      <c r="C15" s="12" t="n">
        <v>54</v>
      </c>
      <c r="D15" s="12" t="n">
        <v>46</v>
      </c>
      <c r="E15" s="13">
        <f>C15/B15</f>
        <v/>
      </c>
      <c r="F15" s="13">
        <f>D15/B15</f>
        <v/>
      </c>
    </row>
    <row r="16">
      <c r="A16" s="8" t="inlineStr">
        <is>
          <t>Réplica 3</t>
        </is>
      </c>
      <c r="B16" s="9" t="n">
        <v>100</v>
      </c>
      <c r="C16" s="9" t="n">
        <v>54</v>
      </c>
      <c r="D16" s="9" t="n">
        <v>46</v>
      </c>
      <c r="E16" s="10">
        <f>C16/B16</f>
        <v/>
      </c>
      <c r="F16" s="10">
        <f>D16/B16</f>
        <v/>
      </c>
    </row>
    <row r="17" ht="20" customHeight="1">
      <c r="A17" s="14" t="inlineStr">
        <is>
          <t>TOTAL / PROMEDIO</t>
        </is>
      </c>
      <c r="B17" s="15">
        <f>SUM(B15:B17)</f>
        <v/>
      </c>
      <c r="C17" s="15">
        <f>SUM(C15:C17)</f>
        <v/>
      </c>
      <c r="D17" s="15">
        <f>SUM(D15:D17)</f>
        <v/>
      </c>
      <c r="E17" s="16">
        <f>AVERAGE(E15:E17)</f>
        <v/>
      </c>
      <c r="F17" s="16">
        <f>AVERAGE(F15:F17)</f>
        <v/>
      </c>
    </row>
    <row r="19" ht="45" customHeight="1">
      <c r="A19" s="17" t="inlineStr">
        <is>
          <t>Nota: Las tres réplicas presentan resultados idénticos debido a que FlexSim 2024 (versión básica) no dispone del módulo Experimenter, lo que impide la asignación automática de semillas aleatorias distintas por réplica. Los resultados se interpretan como una muestra representativa del comportamiento del modelo bajo los parámetros establecidos.</t>
        </is>
      </c>
    </row>
  </sheetData>
  <mergeCells count="11">
    <mergeCell ref="A4:B4"/>
    <mergeCell ref="A2:F2"/>
    <mergeCell ref="A7:B7"/>
    <mergeCell ref="A19:F19"/>
    <mergeCell ref="A1:F1"/>
    <mergeCell ref="A10:B10"/>
    <mergeCell ref="A5:B5"/>
    <mergeCell ref="A12:F12"/>
    <mergeCell ref="A9:B9"/>
    <mergeCell ref="A8:B8"/>
    <mergeCell ref="A6:B6"/>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D28"/>
  <sheetViews>
    <sheetView showGridLines="0" workbookViewId="0">
      <selection activeCell="A1" sqref="A1"/>
    </sheetView>
  </sheetViews>
  <sheetFormatPr baseColWidth="8" defaultRowHeight="15"/>
  <cols>
    <col width="32" customWidth="1" min="1" max="1"/>
    <col width="22" customWidth="1" min="2" max="2"/>
    <col width="28" customWidth="1" min="3" max="3"/>
    <col width="28" customWidth="1" min="4" max="4"/>
  </cols>
  <sheetData>
    <row r="1" ht="30" customHeight="1">
      <c r="A1" s="1" t="inlineStr">
        <is>
          <t>Análisis Estadístico — Proporción de Escape</t>
        </is>
      </c>
    </row>
    <row r="3">
      <c r="A3" s="3" t="inlineStr">
        <is>
          <t>1. Estimación Puntual de la Proporción de Escape</t>
        </is>
      </c>
    </row>
    <row r="4">
      <c r="A4" s="7" t="inlineStr">
        <is>
          <t>Parámetro</t>
        </is>
      </c>
      <c r="B4" s="7" t="inlineStr">
        <is>
          <t>Símbolo</t>
        </is>
      </c>
      <c r="C4" s="7" t="inlineStr">
        <is>
          <t>Fórmula / Valor</t>
        </is>
      </c>
      <c r="D4" s="7" t="inlineStr">
        <is>
          <t>Resultado</t>
        </is>
      </c>
    </row>
    <row r="5">
      <c r="A5" s="18" t="inlineStr">
        <is>
          <t>Ratones que escaparon (x)</t>
        </is>
      </c>
      <c r="B5" s="8" t="inlineStr">
        <is>
          <t>x</t>
        </is>
      </c>
      <c r="C5" s="9" t="n">
        <v>162</v>
      </c>
      <c r="D5" s="18" t="inlineStr"/>
    </row>
    <row r="6">
      <c r="A6" s="19" t="inlineStr">
        <is>
          <t>Total de ratones observados (n)</t>
        </is>
      </c>
      <c r="B6" s="11" t="inlineStr">
        <is>
          <t>n</t>
        </is>
      </c>
      <c r="C6" s="12" t="n">
        <v>300</v>
      </c>
      <c r="D6" s="19" t="inlineStr"/>
    </row>
    <row r="7">
      <c r="A7" s="18" t="inlineStr">
        <is>
          <t>Proporción muestral</t>
        </is>
      </c>
      <c r="B7" s="8" t="inlineStr">
        <is>
          <t>p̂</t>
        </is>
      </c>
      <c r="C7" s="20">
        <f>B5/B6</f>
        <v/>
      </c>
      <c r="D7" s="20">
        <f>C7</f>
        <v/>
      </c>
    </row>
    <row r="8">
      <c r="A8" s="19" t="inlineStr">
        <is>
          <t>Proporción teórica (hipótesis)</t>
        </is>
      </c>
      <c r="B8" s="11" t="inlineStr">
        <is>
          <t>p₀</t>
        </is>
      </c>
      <c r="C8" s="21" t="n">
        <v>0.3</v>
      </c>
      <c r="D8" s="21" t="n">
        <v>0.3</v>
      </c>
    </row>
    <row r="10">
      <c r="A10" s="3" t="inlineStr">
        <is>
          <t>2. Intervalo de Confianza al 95 % (Método de Wald)</t>
        </is>
      </c>
    </row>
    <row r="11">
      <c r="A11" s="7" t="inlineStr">
        <is>
          <t>Componente</t>
        </is>
      </c>
      <c r="B11" s="7" t="inlineStr">
        <is>
          <t>Fórmula</t>
        </is>
      </c>
      <c r="C11" s="7" t="inlineStr">
        <is>
          <t>Valor</t>
        </is>
      </c>
      <c r="D11" s="7" t="inlineStr">
        <is>
          <t>Interpretación</t>
        </is>
      </c>
    </row>
    <row r="12">
      <c r="A12" s="19" t="inlineStr">
        <is>
          <t>Nivel de confianza</t>
        </is>
      </c>
      <c r="B12" s="11" t="inlineStr">
        <is>
          <t>1 - α</t>
        </is>
      </c>
      <c r="C12" s="22" t="n">
        <v>0.95</v>
      </c>
      <c r="D12" s="23" t="inlineStr">
        <is>
          <t>95% de confianza</t>
        </is>
      </c>
    </row>
    <row r="13">
      <c r="A13" s="18" t="inlineStr">
        <is>
          <t>Valor crítico (z α/2)</t>
        </is>
      </c>
      <c r="B13" s="8" t="inlineStr">
        <is>
          <t>z</t>
        </is>
      </c>
      <c r="C13" s="24" t="n">
        <v>1.96</v>
      </c>
      <c r="D13" s="25" t="inlineStr">
        <is>
          <t>z para α=0.05</t>
        </is>
      </c>
    </row>
    <row r="14">
      <c r="A14" s="19" t="inlineStr">
        <is>
          <t>Error estándar</t>
        </is>
      </c>
      <c r="B14" s="11" t="inlineStr">
        <is>
          <t>SE = √(p̂(1−p̂)/n)</t>
        </is>
      </c>
      <c r="C14" s="20">
        <f>SQRT(C7*(1-C7)/B6)</f>
        <v/>
      </c>
      <c r="D14" s="23" t="inlineStr">
        <is>
          <t>Desviación estándar de p̂</t>
        </is>
      </c>
    </row>
    <row r="15">
      <c r="A15" s="18" t="inlineStr">
        <is>
          <t>Margen de error</t>
        </is>
      </c>
      <c r="B15" s="8" t="inlineStr">
        <is>
          <t>E = z × SE</t>
        </is>
      </c>
      <c r="C15" s="20">
        <f>C13*C14</f>
        <v/>
      </c>
      <c r="D15" s="25" t="inlineStr">
        <is>
          <t>±E alrededor de p̂</t>
        </is>
      </c>
    </row>
    <row r="16">
      <c r="A16" s="19" t="inlineStr">
        <is>
          <t>Límite inferior</t>
        </is>
      </c>
      <c r="B16" s="11" t="inlineStr">
        <is>
          <t>p̂ − E</t>
        </is>
      </c>
      <c r="C16" s="20">
        <f>C7-C15</f>
        <v/>
      </c>
      <c r="D16" s="23" t="inlineStr">
        <is>
          <t>Límite inferior del IC</t>
        </is>
      </c>
    </row>
    <row r="17">
      <c r="A17" s="18" t="inlineStr">
        <is>
          <t>Límite superior</t>
        </is>
      </c>
      <c r="B17" s="8" t="inlineStr">
        <is>
          <t>p̂ + E</t>
        </is>
      </c>
      <c r="C17" s="20">
        <f>C7+C15</f>
        <v/>
      </c>
      <c r="D17" s="25" t="inlineStr">
        <is>
          <t>Límite superior del IC</t>
        </is>
      </c>
    </row>
    <row r="19" ht="25" customHeight="1">
      <c r="A19" s="26" t="inlineStr">
        <is>
          <t>Intervalo de confianza al 95 %:   p̂ ∈ [ 0.4423 ,  0.6377 ]</t>
        </is>
      </c>
    </row>
    <row r="21">
      <c r="A21" s="3" t="inlineStr">
        <is>
          <t>3. Prueba de Hipótesis (Prueba Z de Proporciones)</t>
        </is>
      </c>
    </row>
    <row r="22">
      <c r="A22" s="7" t="inlineStr">
        <is>
          <t>Hipótesis / Componente</t>
        </is>
      </c>
      <c r="B22" s="7" t="inlineStr">
        <is>
          <t>Detalle</t>
        </is>
      </c>
      <c r="C22" s="7" t="inlineStr">
        <is>
          <t>Valor</t>
        </is>
      </c>
      <c r="D22" s="7" t="inlineStr">
        <is>
          <t>Decisión</t>
        </is>
      </c>
    </row>
    <row r="23">
      <c r="A23" s="27" t="inlineStr">
        <is>
          <t>H₀: p = 0.30</t>
        </is>
      </c>
      <c r="B23" s="18" t="inlineStr">
        <is>
          <t>Proporción teórica de escape</t>
        </is>
      </c>
    </row>
    <row r="24">
      <c r="A24" s="28" t="inlineStr">
        <is>
          <t>H₁: p ≠ 0.30</t>
        </is>
      </c>
      <c r="B24" s="19" t="inlineStr">
        <is>
          <t>Hipótesis bilateral</t>
        </is>
      </c>
    </row>
    <row r="25">
      <c r="A25" s="18" t="inlineStr">
        <is>
          <t>Estadístico Z</t>
        </is>
      </c>
      <c r="B25" s="18" t="inlineStr">
        <is>
          <t>Z = (p̂ − p₀) / √(p₀(1−p₀)/n)</t>
        </is>
      </c>
      <c r="C25" s="29">
        <f>(C7-B8)/SQRT(B8*(1-B8)/B6)</f>
        <v/>
      </c>
    </row>
    <row r="26">
      <c r="A26" s="19" t="inlineStr">
        <is>
          <t>Valor crítico (α=0.05)</t>
        </is>
      </c>
      <c r="B26" s="19" t="inlineStr">
        <is>
          <t>|z| &gt; 1.96 → rechazar H₀</t>
        </is>
      </c>
      <c r="C26" s="30" t="n">
        <v>1.96</v>
      </c>
    </row>
    <row r="27">
      <c r="A27" s="18" t="inlineStr">
        <is>
          <t>p-valor (aprox.)</t>
        </is>
      </c>
      <c r="B27" s="18" t="inlineStr">
        <is>
          <t>2×(1−Φ(|Z|))</t>
        </is>
      </c>
      <c r="C27" s="20">
        <f>2*(1-NORM.S.DIST(ABS(C25),TRUE))</f>
        <v/>
      </c>
    </row>
    <row r="28" ht="50" customHeight="1">
      <c r="A28" s="31" t="inlineStr">
        <is>
          <t>Conclusión: Con Z ≈ 5.26 y p-valor &lt; 0.001, se rechaza H₀. La proporción observada de escape (54%) difiere significativamente de la proporción teórica (30%), lo cual indica que el modelo puede no estar calibrado correctamente o que la expresión de enrutamiento introduce sesgo.</t>
        </is>
      </c>
    </row>
  </sheetData>
  <mergeCells count="6">
    <mergeCell ref="A1:D1"/>
    <mergeCell ref="A3:D3"/>
    <mergeCell ref="A21:D21"/>
    <mergeCell ref="A19:D19"/>
    <mergeCell ref="A10:D10"/>
    <mergeCell ref="A28:D28"/>
  </mergeCell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H13"/>
  <sheetViews>
    <sheetView showGridLines="0" workbookViewId="0">
      <selection activeCell="A1" sqref="A1"/>
    </sheetView>
  </sheetViews>
  <sheetFormatPr baseColWidth="8" defaultRowHeight="15"/>
  <sheetData>
    <row r="1" ht="30" customHeight="1">
      <c r="A1" s="1" t="inlineStr">
        <is>
          <t>Visualización de Resultados</t>
        </is>
      </c>
    </row>
    <row r="3">
      <c r="A3" s="32" t="inlineStr">
        <is>
          <t>Réplica</t>
        </is>
      </c>
      <c r="B3" s="32" t="inlineStr">
        <is>
          <t>Escaparon</t>
        </is>
      </c>
      <c r="C3" s="32" t="inlineStr">
        <is>
          <t>Murieron</t>
        </is>
      </c>
    </row>
    <row r="4">
      <c r="A4" s="33" t="inlineStr">
        <is>
          <t>Réplica 1</t>
        </is>
      </c>
      <c r="B4" s="33" t="n">
        <v>54</v>
      </c>
      <c r="C4" s="33" t="n">
        <v>46</v>
      </c>
    </row>
    <row r="5">
      <c r="A5" s="33" t="inlineStr">
        <is>
          <t>Réplica 2</t>
        </is>
      </c>
      <c r="B5" s="33" t="n">
        <v>54</v>
      </c>
      <c r="C5" s="33" t="n">
        <v>46</v>
      </c>
    </row>
    <row r="6">
      <c r="A6" s="33" t="inlineStr">
        <is>
          <t>Réplica 3</t>
        </is>
      </c>
      <c r="B6" s="33" t="n">
        <v>54</v>
      </c>
      <c r="C6" s="33" t="n">
        <v>46</v>
      </c>
    </row>
    <row r="11">
      <c r="A11" t="inlineStr">
        <is>
          <t>Resultado</t>
        </is>
      </c>
      <c r="B11" t="inlineStr">
        <is>
          <t>Promedio</t>
        </is>
      </c>
    </row>
    <row r="12">
      <c r="A12" t="inlineStr">
        <is>
          <t>Escaparon</t>
        </is>
      </c>
      <c r="B12" t="n">
        <v>54</v>
      </c>
    </row>
    <row r="13">
      <c r="A13" t="inlineStr">
        <is>
          <t>Murieron</t>
        </is>
      </c>
      <c r="B13" t="n">
        <v>46</v>
      </c>
    </row>
  </sheetData>
  <mergeCells count="1">
    <mergeCell ref="A1:H1"/>
  </mergeCells>
  <pageMargins left="0.75" right="0.75" top="1" bottom="1" header="0.5" footer="0.5"/>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4" customWidth="1" min="1" max="1"/>
    <col width="30" customWidth="1" min="2" max="2"/>
    <col width="40" customWidth="1" min="3" max="3"/>
    <col width="20" customWidth="1" min="4" max="4"/>
  </cols>
  <sheetData>
    <row r="1" ht="30" customHeight="1">
      <c r="A1" s="1" t="inlineStr">
        <is>
          <t>Especificación del Modelo — FlexSim 2024 Update 1</t>
        </is>
      </c>
    </row>
    <row r="3">
      <c r="A3" s="3" t="inlineStr">
        <is>
          <t>Objetos del Modelo</t>
        </is>
      </c>
    </row>
    <row r="4">
      <c r="A4" s="7" t="inlineStr">
        <is>
          <t>Objeto</t>
        </is>
      </c>
      <c r="B4" s="7" t="inlineStr">
        <is>
          <t>Nombre en Modelo</t>
        </is>
      </c>
      <c r="C4" s="7" t="inlineStr">
        <is>
          <t>Configuración Principal</t>
        </is>
      </c>
      <c r="D4" s="7" t="inlineStr">
        <is>
          <t>Puerto Destino</t>
        </is>
      </c>
    </row>
    <row r="5" ht="38" customHeight="1">
      <c r="A5" s="34" t="inlineStr">
        <is>
          <t>Source</t>
        </is>
      </c>
      <c r="B5" s="18" t="inlineStr">
        <is>
          <t>llegada de ratones</t>
        </is>
      </c>
      <c r="C5" s="35" t="inlineStr">
        <is>
          <t>Estilo llegada: Horario. 100 ratones en tiempo=0.
OnCreation: raton=normal(600,120); nacimiento=time()</t>
        </is>
      </c>
      <c r="D5" s="8" t="inlineStr">
        <is>
          <t>→ cola de laberinto</t>
        </is>
      </c>
    </row>
    <row r="6" ht="38" customHeight="1">
      <c r="A6" s="36" t="inlineStr">
        <is>
          <t>Queue</t>
        </is>
      </c>
      <c r="B6" s="19" t="inlineStr">
        <is>
          <t>cola de laberinto</t>
        </is>
      </c>
      <c r="C6" s="37" t="inlineStr">
        <is>
          <t>Capacidad: ilimitada</t>
        </is>
      </c>
      <c r="D6" s="11" t="inlineStr">
        <is>
          <t>→ intento de escape</t>
        </is>
      </c>
    </row>
    <row r="7" ht="38" customHeight="1">
      <c r="A7" s="34" t="inlineStr">
        <is>
          <t>Processor</t>
        </is>
      </c>
      <c r="B7" s="18" t="inlineStr">
        <is>
          <t>intento de escape</t>
        </is>
      </c>
      <c r="C7" s="35" t="inlineStr">
        <is>
          <t>Contenido máx: 100. Tiempo proceso: uniforme(60,180).
Enviar a puerto: Por Expresión (ver Hoja)</t>
        </is>
      </c>
      <c r="D7" s="8" t="inlineStr">
        <is>
          <t>Puerto 1/2/3</t>
        </is>
      </c>
    </row>
    <row r="8" ht="38" customHeight="1">
      <c r="A8" s="36" t="inlineStr">
        <is>
          <t>Queue</t>
        </is>
      </c>
      <c r="B8" s="19" t="inlineStr">
        <is>
          <t>vagar sin rumbo</t>
        </is>
      </c>
      <c r="C8" s="37" t="inlineStr">
        <is>
          <t>Capacidad: ilimitada</t>
        </is>
      </c>
      <c r="D8" s="11" t="inlineStr">
        <is>
          <t>→ reintentar</t>
        </is>
      </c>
    </row>
    <row r="9" ht="38" customHeight="1">
      <c r="A9" s="34" t="inlineStr">
        <is>
          <t>Processor</t>
        </is>
      </c>
      <c r="B9" s="18" t="inlineStr">
        <is>
          <t>reintentar</t>
        </is>
      </c>
      <c r="C9" s="35" t="inlineStr">
        <is>
          <t>Contenido máx: 100. Tiempo proceso: uniforme(120,180).
Envía de vuelta a cola de laberinto</t>
        </is>
      </c>
      <c r="D9" s="8" t="inlineStr">
        <is>
          <t>→ cola de laberinto</t>
        </is>
      </c>
    </row>
    <row r="10" ht="38" customHeight="1">
      <c r="A10" s="36" t="inlineStr">
        <is>
          <t>Queue</t>
        </is>
      </c>
      <c r="B10" s="19" t="inlineStr">
        <is>
          <t>cola de reintentos</t>
        </is>
      </c>
      <c r="C10" s="37" t="inlineStr">
        <is>
          <t>Queue intermedia para evitar deadlock en el ciclo</t>
        </is>
      </c>
      <c r="D10" s="11" t="inlineStr">
        <is>
          <t>→ intento de escape</t>
        </is>
      </c>
    </row>
    <row r="11" ht="38" customHeight="1">
      <c r="A11" s="34" t="inlineStr">
        <is>
          <t>Sink</t>
        </is>
      </c>
      <c r="B11" s="18" t="inlineStr">
        <is>
          <t>ruta correcta</t>
        </is>
      </c>
      <c r="C11" s="35" t="inlineStr">
        <is>
          <t>Recibe ratones que escaparon (Puerto 1)</t>
        </is>
      </c>
      <c r="D11" s="8" t="inlineStr">
        <is>
          <t>Puerto 1</t>
        </is>
      </c>
    </row>
    <row r="12" ht="38" customHeight="1">
      <c r="A12" s="36" t="inlineStr">
        <is>
          <t>Sink</t>
        </is>
      </c>
      <c r="B12" s="19" t="inlineStr">
        <is>
          <t>muertos</t>
        </is>
      </c>
      <c r="C12" s="37" t="inlineStr">
        <is>
          <t>Recibe ratones cuyo tiempo de vida expiró (Puerto 3)</t>
        </is>
      </c>
      <c r="D12" s="11" t="inlineStr">
        <is>
          <t>Puerto 3</t>
        </is>
      </c>
    </row>
    <row r="14" ht="20" customHeight="1">
      <c r="A14" s="3" t="inlineStr">
        <is>
          <t>Expresión de Enrutamiento — Intento de Escape (Send To Port &gt; By Expression)</t>
        </is>
      </c>
    </row>
    <row r="15" ht="20" customHeight="1">
      <c r="A15" s="38" t="inlineStr">
        <is>
          <t>(time()-item.nacimiento&gt;=item.raton)*3+(1-(time()-item.nacimiento&gt;=item.raton))*(2-(uniform(0,1)&lt;0.3))</t>
        </is>
      </c>
    </row>
    <row r="16" ht="20" customHeight="1"/>
    <row r="17" ht="20" customHeight="1"/>
    <row r="18">
      <c r="A18" s="7" t="inlineStr">
        <is>
          <t>Condición</t>
        </is>
      </c>
      <c r="B18" s="7" t="inlineStr">
        <is>
          <t>Puerto</t>
        </is>
      </c>
      <c r="C18" s="7" t="inlineStr">
        <is>
          <t>Significado</t>
        </is>
      </c>
    </row>
    <row r="19">
      <c r="A19" s="18" t="inlineStr">
        <is>
          <t>uniform(0,1) &lt; 0.30 Y tiempo &lt; supervivencia</t>
        </is>
      </c>
      <c r="B19" s="34" t="inlineStr">
        <is>
          <t>Puerto 1</t>
        </is>
      </c>
      <c r="C19" s="18" t="inlineStr">
        <is>
          <t>Escape exitoso → ruta correcta</t>
        </is>
      </c>
    </row>
    <row r="20">
      <c r="A20" s="19" t="inlineStr">
        <is>
          <t>uniform(0,1) ≥ 0.30 Y tiempo &lt; supervivencia</t>
        </is>
      </c>
      <c r="B20" s="36" t="inlineStr">
        <is>
          <t>Puerto 2</t>
        </is>
      </c>
      <c r="C20" s="19" t="inlineStr">
        <is>
          <t>Intento fallido → vagar sin rumbo</t>
        </is>
      </c>
    </row>
    <row r="21">
      <c r="A21" s="18" t="inlineStr">
        <is>
          <t>time() − nacimiento ≥ raton</t>
        </is>
      </c>
      <c r="B21" s="34" t="inlineStr">
        <is>
          <t>Puerto 3</t>
        </is>
      </c>
      <c r="C21" s="18" t="inlineStr">
        <is>
          <t>Tiempo agotado → muertos</t>
        </is>
      </c>
    </row>
  </sheetData>
  <mergeCells count="4">
    <mergeCell ref="A1:D1"/>
    <mergeCell ref="A15:D17"/>
    <mergeCell ref="A3:D3"/>
    <mergeCell ref="A14:D14"/>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2026-09-06T04:08:02Z</dcterms:created>
  <dcterms:modified xmlns:dcterms="http://purl.org/dc/terms/" xmlns:xsi="http://www.w3.org/2001/XMLSchema-instance" xsi:type="dcterms:W3CDTF">2026-09-06T04:08:02Z</dcterms:modified>
</cp:coreProperties>
</file>